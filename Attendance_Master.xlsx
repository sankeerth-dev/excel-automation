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ke\Downloads\excel automation\"/>
    </mc:Choice>
  </mc:AlternateContent>
  <xr:revisionPtr revIDLastSave="0" documentId="13_ncr:1_{E34A22E2-4101-4391-859D-84EAF2855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F2" i="1" s="1"/>
  <c r="P19" i="1"/>
  <c r="E19" i="1"/>
  <c r="D19" i="1"/>
  <c r="F19" i="1" l="1"/>
  <c r="O19" i="1"/>
</calcChain>
</file>

<file path=xl/sharedStrings.xml><?xml version="1.0" encoding="utf-8"?>
<sst xmlns="http://schemas.openxmlformats.org/spreadsheetml/2006/main" count="78" uniqueCount="53">
  <si>
    <t>Name of the Resource</t>
  </si>
  <si>
    <t>Payment</t>
  </si>
  <si>
    <t>Tax</t>
  </si>
  <si>
    <t>Per day</t>
  </si>
  <si>
    <t>Number of days Attended</t>
  </si>
  <si>
    <t>Total</t>
  </si>
  <si>
    <t>Comment</t>
  </si>
  <si>
    <t>Akash Totiger</t>
  </si>
  <si>
    <t>Number
 of days</t>
  </si>
  <si>
    <t>Leave 
Taken</t>
  </si>
  <si>
    <t>Suraj Gupta</t>
  </si>
  <si>
    <t>Leave on 16th Feb</t>
  </si>
  <si>
    <t>Yash Gupta</t>
  </si>
  <si>
    <t>No Leave Taken</t>
  </si>
  <si>
    <t>Harish.v</t>
  </si>
  <si>
    <t>Leave taken on 11</t>
  </si>
  <si>
    <t>Dhinesh Kanna</t>
  </si>
  <si>
    <t>Aayush Kumar</t>
  </si>
  <si>
    <t>Ravishankar Nateshmurthy
 / Savitha.S</t>
  </si>
  <si>
    <t>Srinu gobbala (Internship)</t>
  </si>
  <si>
    <t>1 day leave on Feb 11</t>
  </si>
  <si>
    <t>Daniel Rodrigeous</t>
  </si>
  <si>
    <t>Vishrutha</t>
  </si>
  <si>
    <t>Lathika K Poojari</t>
  </si>
  <si>
    <t>Jnanesh P Palan</t>
  </si>
  <si>
    <t>Anurag</t>
  </si>
  <si>
    <t>This is 80000 + GST = 14400
94400</t>
  </si>
  <si>
    <t>Lakshmi Prasanna Sanaboyina</t>
  </si>
  <si>
    <t>Joined on 11 March 2026</t>
  </si>
  <si>
    <t>Sankeerth M D</t>
  </si>
  <si>
    <t>SURAJ SURESH</t>
  </si>
  <si>
    <t>madmax</t>
  </si>
  <si>
    <t>joined on 20 march 2026</t>
  </si>
  <si>
    <t>Designation</t>
  </si>
  <si>
    <t>SDE 1</t>
  </si>
  <si>
    <t>PAN</t>
  </si>
  <si>
    <t>BWKPT3953N</t>
  </si>
  <si>
    <t>Employee ID</t>
  </si>
  <si>
    <t>intern</t>
  </si>
  <si>
    <t>Basic</t>
  </si>
  <si>
    <t>House Rent Allowance</t>
  </si>
  <si>
    <t>Special Allowance</t>
  </si>
  <si>
    <t>Statutory Bonus</t>
  </si>
  <si>
    <t>LTA Allowance</t>
  </si>
  <si>
    <t>Other Earning 1</t>
  </si>
  <si>
    <t>Other Earning 2</t>
  </si>
  <si>
    <t>Other Earning 3</t>
  </si>
  <si>
    <t>Bank Name</t>
  </si>
  <si>
    <t>Bank A/C No.</t>
  </si>
  <si>
    <t>P.F. A/C Number</t>
  </si>
  <si>
    <t>UAN Number</t>
  </si>
  <si>
    <t>Date of Joining</t>
  </si>
  <si>
    <t>Total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</si>
</sst>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1" xfId="0" applyFont="1" applyBorder="1"/>
    <xf numFmtId="164" fontId="1" fillId="0" borderId="1" xfId="0" applyNumberFormat="1" applyFont="1" applyBorder="1"/>
    <xf numFmtId="2" fontId="1" fillId="0" borderId="1" xfId="0" applyNumberFormat="1" applyFont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14" fontId="0" fillId="2" borderId="1" xfId="0" applyNumberFormat="1" applyFill="1" applyBorder="1" applyAlignment="1">
      <alignment wrapText="1"/>
    </xf>
    <xf numFmtId="14" fontId="0" fillId="0" borderId="1" xfId="0" applyNumberFormat="1" applyBorder="1"/>
    <xf numFmtId="14" fontId="0" fillId="0" borderId="0" xfId="0" applyNumberFormat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topLeftCell="C1" zoomScale="99" workbookViewId="0">
      <selection activeCell="D3" sqref="D3"/>
    </sheetView>
  </sheetViews>
  <sheetFormatPr defaultRowHeight="14.4" x14ac:dyDescent="0.3"/>
  <cols>
    <col min="1" max="1" width="11.77734375" customWidth="1"/>
    <col min="2" max="3" width="19.44140625" customWidth="1"/>
    <col min="4" max="4" width="12.109375" customWidth="1"/>
    <col min="5" max="5" width="9.44140625" customWidth="1"/>
    <col min="6" max="6" width="10.88671875" customWidth="1"/>
    <col min="8" max="8" width="14.109375" customWidth="1"/>
    <col min="9" max="9" width="14.109375" style="12" customWidth="1"/>
    <col min="10" max="10" width="15.33203125" customWidth="1"/>
    <col min="11" max="14" width="14.109375" customWidth="1"/>
    <col min="15" max="15" width="15.88671875" customWidth="1"/>
    <col min="16" max="16" width="8.33203125" customWidth="1"/>
    <col min="17" max="17" width="9.33203125" customWidth="1"/>
    <col min="18" max="18" width="13.21875" customWidth="1"/>
    <col min="19" max="19" width="12.44140625" customWidth="1"/>
    <col min="20" max="20" width="14.44140625" customWidth="1"/>
    <col min="21" max="24" width="16.33203125" customWidth="1"/>
    <col min="25" max="25" width="17.88671875" customWidth="1"/>
    <col min="28" max="28" width="26.5546875" customWidth="1"/>
  </cols>
  <sheetData>
    <row r="1" spans="1:25" ht="28.8" x14ac:dyDescent="0.3">
      <c r="A1" s="8" t="s">
        <v>37</v>
      </c>
      <c r="B1" s="9" t="s">
        <v>0</v>
      </c>
      <c r="C1" s="9" t="s">
        <v>33</v>
      </c>
      <c r="D1" s="9" t="s">
        <v>1</v>
      </c>
      <c r="E1" s="9" t="s">
        <v>2</v>
      </c>
      <c r="F1" s="9" t="s">
        <v>3</v>
      </c>
      <c r="G1" s="8" t="s">
        <v>8</v>
      </c>
      <c r="H1" s="8" t="s">
        <v>4</v>
      </c>
      <c r="I1" s="10" t="s">
        <v>51</v>
      </c>
      <c r="J1" s="8" t="s">
        <v>35</v>
      </c>
      <c r="K1" s="8" t="s">
        <v>47</v>
      </c>
      <c r="L1" s="8" t="s">
        <v>48</v>
      </c>
      <c r="M1" s="8" t="s">
        <v>49</v>
      </c>
      <c r="N1" s="8" t="s">
        <v>50</v>
      </c>
      <c r="O1" s="9" t="s">
        <v>52</v>
      </c>
      <c r="P1" s="8" t="s">
        <v>9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46</v>
      </c>
      <c r="Y1" s="9" t="s">
        <v>6</v>
      </c>
    </row>
    <row r="2" spans="1:25" x14ac:dyDescent="0.3">
      <c r="A2" s="1">
        <v>1</v>
      </c>
      <c r="B2" s="1" t="s">
        <v>10</v>
      </c>
      <c r="C2" s="1" t="s">
        <v>34</v>
      </c>
      <c r="D2" s="2">
        <v>500000</v>
      </c>
      <c r="E2" s="2">
        <v>200</v>
      </c>
      <c r="F2" s="2">
        <f>(O2/G2)</f>
        <v>1344.0860215053763</v>
      </c>
      <c r="G2" s="3">
        <v>31</v>
      </c>
      <c r="H2" s="3">
        <v>28</v>
      </c>
      <c r="I2" s="11"/>
      <c r="J2" s="3"/>
      <c r="K2" s="3"/>
      <c r="L2" s="3"/>
      <c r="M2" s="3"/>
      <c r="N2" s="3"/>
      <c r="O2" s="2">
        <f>(D2/12)</f>
        <v>41666.666666666664</v>
      </c>
      <c r="P2" s="3">
        <f>G2-H2</f>
        <v>3</v>
      </c>
      <c r="Q2" s="3">
        <v>500</v>
      </c>
      <c r="R2" s="3"/>
      <c r="S2" s="3"/>
      <c r="T2" s="3"/>
      <c r="U2" s="3"/>
      <c r="V2" s="3"/>
      <c r="W2" s="3"/>
      <c r="X2" s="3"/>
      <c r="Y2" s="1" t="s">
        <v>11</v>
      </c>
    </row>
    <row r="3" spans="1:25" x14ac:dyDescent="0.3">
      <c r="A3" s="1">
        <v>2</v>
      </c>
      <c r="B3" s="1" t="s">
        <v>12</v>
      </c>
      <c r="C3" s="1" t="s">
        <v>34</v>
      </c>
      <c r="D3" s="2">
        <v>400000</v>
      </c>
      <c r="E3" s="2">
        <v>200</v>
      </c>
      <c r="F3" s="2">
        <f t="shared" ref="F3:F18" si="0">(O3/G3)</f>
        <v>1075.2688172043011</v>
      </c>
      <c r="G3" s="3">
        <v>31</v>
      </c>
      <c r="H3" s="3">
        <v>27</v>
      </c>
      <c r="I3" s="11"/>
      <c r="J3" s="3"/>
      <c r="K3" s="3"/>
      <c r="L3" s="3"/>
      <c r="M3" s="3"/>
      <c r="N3" s="3"/>
      <c r="O3" s="2">
        <f t="shared" ref="O3:O18" si="1">(D3/12)</f>
        <v>33333.333333333336</v>
      </c>
      <c r="P3" s="3">
        <f t="shared" ref="P3:P18" si="2">G3-H3</f>
        <v>4</v>
      </c>
      <c r="Q3" s="3">
        <v>500</v>
      </c>
      <c r="R3" s="3"/>
      <c r="S3" s="3"/>
      <c r="T3" s="3"/>
      <c r="U3" s="3"/>
      <c r="V3" s="3"/>
      <c r="W3" s="3"/>
      <c r="X3" s="3"/>
      <c r="Y3" s="1" t="s">
        <v>13</v>
      </c>
    </row>
    <row r="4" spans="1:25" x14ac:dyDescent="0.3">
      <c r="A4" s="1">
        <v>3</v>
      </c>
      <c r="B4" s="1" t="s">
        <v>14</v>
      </c>
      <c r="C4" s="1" t="s">
        <v>34</v>
      </c>
      <c r="D4" s="2">
        <v>400000</v>
      </c>
      <c r="E4" s="2">
        <v>200</v>
      </c>
      <c r="F4" s="2">
        <f t="shared" si="0"/>
        <v>1075.2688172043011</v>
      </c>
      <c r="G4" s="3">
        <v>31</v>
      </c>
      <c r="H4" s="3">
        <v>26</v>
      </c>
      <c r="I4" s="11"/>
      <c r="J4" s="3"/>
      <c r="K4" s="3"/>
      <c r="L4" s="3"/>
      <c r="M4" s="3"/>
      <c r="N4" s="3"/>
      <c r="O4" s="2">
        <f t="shared" si="1"/>
        <v>33333.333333333336</v>
      </c>
      <c r="P4" s="3">
        <f t="shared" si="2"/>
        <v>5</v>
      </c>
      <c r="Q4" s="3"/>
      <c r="R4" s="3"/>
      <c r="S4" s="3"/>
      <c r="T4" s="3"/>
      <c r="U4" s="3"/>
      <c r="V4" s="3"/>
      <c r="W4" s="3"/>
      <c r="X4" s="3"/>
      <c r="Y4" s="1" t="s">
        <v>15</v>
      </c>
    </row>
    <row r="5" spans="1:25" x14ac:dyDescent="0.3">
      <c r="A5" s="1">
        <v>4</v>
      </c>
      <c r="B5" s="1" t="s">
        <v>7</v>
      </c>
      <c r="C5" s="1" t="s">
        <v>34</v>
      </c>
      <c r="D5" s="2">
        <v>400000</v>
      </c>
      <c r="E5" s="2">
        <v>200</v>
      </c>
      <c r="F5" s="2">
        <f t="shared" si="0"/>
        <v>1075.2688172043011</v>
      </c>
      <c r="G5" s="3">
        <v>31</v>
      </c>
      <c r="H5" s="3">
        <v>25</v>
      </c>
      <c r="J5" t="s">
        <v>36</v>
      </c>
      <c r="O5" s="2">
        <f t="shared" si="1"/>
        <v>33333.333333333336</v>
      </c>
      <c r="P5" s="3">
        <f t="shared" si="2"/>
        <v>6</v>
      </c>
      <c r="Q5" s="3"/>
      <c r="R5" s="3"/>
      <c r="S5" s="3"/>
      <c r="T5" s="3"/>
      <c r="U5" s="3"/>
      <c r="V5" s="3"/>
      <c r="W5" s="3"/>
      <c r="X5" s="3"/>
      <c r="Y5" s="1" t="s">
        <v>13</v>
      </c>
    </row>
    <row r="6" spans="1:25" x14ac:dyDescent="0.3">
      <c r="A6" s="1">
        <v>5</v>
      </c>
      <c r="B6" s="1" t="s">
        <v>16</v>
      </c>
      <c r="C6" s="1" t="s">
        <v>34</v>
      </c>
      <c r="D6" s="2">
        <v>400000</v>
      </c>
      <c r="E6" s="2">
        <v>200</v>
      </c>
      <c r="F6" s="2">
        <f t="shared" si="0"/>
        <v>1075.2688172043011</v>
      </c>
      <c r="G6" s="3">
        <v>31</v>
      </c>
      <c r="H6" s="3">
        <v>24</v>
      </c>
      <c r="I6" s="11"/>
      <c r="J6" s="3"/>
      <c r="K6" s="3"/>
      <c r="L6" s="3"/>
      <c r="M6" s="3"/>
      <c r="N6" s="3"/>
      <c r="O6" s="2">
        <f t="shared" si="1"/>
        <v>33333.333333333336</v>
      </c>
      <c r="P6" s="3">
        <f t="shared" si="2"/>
        <v>7</v>
      </c>
      <c r="Q6" s="3"/>
      <c r="R6" s="3"/>
      <c r="S6" s="3"/>
      <c r="T6" s="3"/>
      <c r="U6" s="3"/>
      <c r="V6" s="3"/>
      <c r="W6" s="3"/>
      <c r="X6" s="3"/>
      <c r="Y6" s="1" t="s">
        <v>13</v>
      </c>
    </row>
    <row r="7" spans="1:25" x14ac:dyDescent="0.3">
      <c r="A7" s="1">
        <v>6</v>
      </c>
      <c r="B7" s="1" t="s">
        <v>17</v>
      </c>
      <c r="C7" s="1" t="s">
        <v>34</v>
      </c>
      <c r="D7" s="2">
        <v>400000</v>
      </c>
      <c r="E7" s="2">
        <v>200</v>
      </c>
      <c r="F7" s="2">
        <f t="shared" si="0"/>
        <v>1075.2688172043011</v>
      </c>
      <c r="G7" s="3">
        <v>31</v>
      </c>
      <c r="H7" s="3">
        <v>23</v>
      </c>
      <c r="I7" s="11"/>
      <c r="J7" s="3"/>
      <c r="K7" s="3"/>
      <c r="L7" s="3"/>
      <c r="M7" s="3"/>
      <c r="N7" s="3"/>
      <c r="O7" s="2">
        <f t="shared" si="1"/>
        <v>33333.333333333336</v>
      </c>
      <c r="P7" s="3">
        <f t="shared" si="2"/>
        <v>8</v>
      </c>
      <c r="Q7" s="3"/>
      <c r="R7" s="3"/>
      <c r="S7" s="3"/>
      <c r="T7" s="3"/>
      <c r="U7" s="3"/>
      <c r="V7" s="3"/>
      <c r="W7" s="3"/>
      <c r="X7" s="3"/>
      <c r="Y7" s="1" t="s">
        <v>13</v>
      </c>
    </row>
    <row r="8" spans="1:25" ht="43.2" x14ac:dyDescent="0.3">
      <c r="A8" s="1">
        <v>7</v>
      </c>
      <c r="B8" s="4" t="s">
        <v>18</v>
      </c>
      <c r="C8" s="1" t="s">
        <v>34</v>
      </c>
      <c r="D8" s="2">
        <v>400000</v>
      </c>
      <c r="E8" s="2">
        <v>200</v>
      </c>
      <c r="F8" s="2">
        <f t="shared" si="0"/>
        <v>1075.2688172043011</v>
      </c>
      <c r="G8" s="3">
        <v>31</v>
      </c>
      <c r="H8" s="3">
        <v>22</v>
      </c>
      <c r="I8" s="11"/>
      <c r="J8" s="3"/>
      <c r="K8" s="3"/>
      <c r="L8" s="3"/>
      <c r="M8" s="3"/>
      <c r="N8" s="3"/>
      <c r="O8" s="2">
        <f t="shared" si="1"/>
        <v>33333.333333333336</v>
      </c>
      <c r="P8" s="3">
        <f t="shared" si="2"/>
        <v>9</v>
      </c>
      <c r="Q8" s="3"/>
      <c r="R8" s="3"/>
      <c r="S8" s="3"/>
      <c r="T8" s="3"/>
      <c r="U8" s="3"/>
      <c r="V8" s="3"/>
      <c r="W8" s="3"/>
      <c r="X8" s="3"/>
      <c r="Y8" s="1" t="s">
        <v>13</v>
      </c>
    </row>
    <row r="9" spans="1:25" ht="28.8" x14ac:dyDescent="0.3">
      <c r="A9" s="1">
        <v>8</v>
      </c>
      <c r="B9" s="4" t="s">
        <v>19</v>
      </c>
      <c r="C9" s="1" t="s">
        <v>34</v>
      </c>
      <c r="D9" s="2">
        <v>40000</v>
      </c>
      <c r="E9" s="2">
        <v>200</v>
      </c>
      <c r="F9" s="2">
        <f t="shared" si="0"/>
        <v>107.52688172043011</v>
      </c>
      <c r="G9" s="3">
        <v>31</v>
      </c>
      <c r="H9" s="3">
        <v>21</v>
      </c>
      <c r="I9" s="11"/>
      <c r="J9" s="3"/>
      <c r="K9" s="3"/>
      <c r="L9" s="3"/>
      <c r="M9" s="3"/>
      <c r="N9" s="3"/>
      <c r="O9" s="2">
        <f t="shared" si="1"/>
        <v>3333.3333333333335</v>
      </c>
      <c r="P9" s="3">
        <f t="shared" si="2"/>
        <v>10</v>
      </c>
      <c r="Q9" s="3"/>
      <c r="R9" s="3"/>
      <c r="S9" s="3"/>
      <c r="T9" s="3"/>
      <c r="U9" s="3"/>
      <c r="V9" s="3"/>
      <c r="W9" s="3"/>
      <c r="X9" s="3"/>
      <c r="Y9" s="1" t="s">
        <v>20</v>
      </c>
    </row>
    <row r="10" spans="1:25" x14ac:dyDescent="0.3">
      <c r="A10" s="1">
        <v>9</v>
      </c>
      <c r="B10" s="4" t="s">
        <v>21</v>
      </c>
      <c r="C10" s="1" t="s">
        <v>34</v>
      </c>
      <c r="D10" s="2">
        <v>40000</v>
      </c>
      <c r="E10" s="2">
        <v>200</v>
      </c>
      <c r="F10" s="2">
        <f t="shared" si="0"/>
        <v>107.52688172043011</v>
      </c>
      <c r="G10" s="3">
        <v>31</v>
      </c>
      <c r="H10" s="3">
        <v>20</v>
      </c>
      <c r="I10" s="11"/>
      <c r="J10" s="3"/>
      <c r="K10" s="3"/>
      <c r="L10" s="3"/>
      <c r="M10" s="3"/>
      <c r="N10" s="3"/>
      <c r="O10" s="2">
        <f t="shared" si="1"/>
        <v>3333.3333333333335</v>
      </c>
      <c r="P10" s="3">
        <f t="shared" si="2"/>
        <v>11</v>
      </c>
      <c r="Q10" s="3"/>
      <c r="R10" s="3"/>
      <c r="S10" s="3"/>
      <c r="T10" s="3"/>
      <c r="U10" s="3"/>
      <c r="V10" s="3"/>
      <c r="W10" s="3"/>
      <c r="X10" s="3"/>
      <c r="Y10" s="1" t="s">
        <v>13</v>
      </c>
    </row>
    <row r="11" spans="1:25" x14ac:dyDescent="0.3">
      <c r="A11" s="1">
        <v>10</v>
      </c>
      <c r="B11" s="4" t="s">
        <v>22</v>
      </c>
      <c r="C11" s="1" t="s">
        <v>34</v>
      </c>
      <c r="D11" s="2">
        <v>40000</v>
      </c>
      <c r="E11" s="2">
        <v>200</v>
      </c>
      <c r="F11" s="2">
        <f t="shared" si="0"/>
        <v>107.52688172043011</v>
      </c>
      <c r="G11" s="3">
        <v>31</v>
      </c>
      <c r="H11" s="3">
        <v>19</v>
      </c>
      <c r="I11" s="11"/>
      <c r="J11" s="3"/>
      <c r="K11" s="3"/>
      <c r="L11" s="3"/>
      <c r="M11" s="3"/>
      <c r="N11" s="3"/>
      <c r="O11" s="2">
        <f t="shared" si="1"/>
        <v>3333.3333333333335</v>
      </c>
      <c r="P11" s="3">
        <f t="shared" si="2"/>
        <v>12</v>
      </c>
      <c r="Q11" s="3"/>
      <c r="R11" s="3"/>
      <c r="S11" s="3"/>
      <c r="T11" s="3"/>
      <c r="U11" s="3"/>
      <c r="V11" s="3"/>
      <c r="W11" s="3"/>
      <c r="X11" s="3"/>
      <c r="Y11" s="1" t="s">
        <v>13</v>
      </c>
    </row>
    <row r="12" spans="1:25" x14ac:dyDescent="0.3">
      <c r="A12" s="1">
        <v>11</v>
      </c>
      <c r="B12" s="4" t="s">
        <v>23</v>
      </c>
      <c r="C12" s="1" t="s">
        <v>34</v>
      </c>
      <c r="D12" s="2">
        <v>40000</v>
      </c>
      <c r="E12" s="2">
        <v>200</v>
      </c>
      <c r="F12" s="2">
        <f t="shared" si="0"/>
        <v>107.52688172043011</v>
      </c>
      <c r="G12" s="3">
        <v>31</v>
      </c>
      <c r="H12" s="3">
        <v>18</v>
      </c>
      <c r="I12" s="11"/>
      <c r="J12" s="3"/>
      <c r="K12" s="3"/>
      <c r="L12" s="3"/>
      <c r="M12" s="3"/>
      <c r="N12" s="3"/>
      <c r="O12" s="2">
        <f t="shared" si="1"/>
        <v>3333.3333333333335</v>
      </c>
      <c r="P12" s="3">
        <f t="shared" si="2"/>
        <v>13</v>
      </c>
      <c r="Q12" s="3"/>
      <c r="R12" s="3"/>
      <c r="S12" s="3"/>
      <c r="T12" s="3"/>
      <c r="U12" s="3"/>
      <c r="V12" s="3"/>
      <c r="W12" s="3"/>
      <c r="X12" s="3"/>
      <c r="Y12" s="1" t="s">
        <v>13</v>
      </c>
    </row>
    <row r="13" spans="1:25" x14ac:dyDescent="0.3">
      <c r="A13" s="1">
        <v>12</v>
      </c>
      <c r="B13" s="4" t="s">
        <v>24</v>
      </c>
      <c r="C13" s="1" t="s">
        <v>34</v>
      </c>
      <c r="D13" s="2">
        <v>40000</v>
      </c>
      <c r="E13" s="2">
        <v>200</v>
      </c>
      <c r="F13" s="2">
        <f t="shared" si="0"/>
        <v>107.52688172043011</v>
      </c>
      <c r="G13" s="3">
        <v>31</v>
      </c>
      <c r="H13" s="3">
        <v>17</v>
      </c>
      <c r="I13" s="11"/>
      <c r="J13" s="3"/>
      <c r="K13" s="3"/>
      <c r="L13" s="3"/>
      <c r="M13" s="3"/>
      <c r="N13" s="3"/>
      <c r="O13" s="2">
        <f t="shared" si="1"/>
        <v>3333.3333333333335</v>
      </c>
      <c r="P13" s="3">
        <f t="shared" si="2"/>
        <v>14</v>
      </c>
      <c r="Q13" s="3"/>
      <c r="R13" s="3"/>
      <c r="S13" s="3"/>
      <c r="T13" s="3"/>
      <c r="U13" s="3"/>
      <c r="V13" s="3"/>
      <c r="W13" s="3"/>
      <c r="X13" s="3"/>
      <c r="Y13" s="1" t="s">
        <v>13</v>
      </c>
    </row>
    <row r="14" spans="1:25" ht="43.2" x14ac:dyDescent="0.3">
      <c r="A14" s="1">
        <v>13</v>
      </c>
      <c r="B14" s="4" t="s">
        <v>25</v>
      </c>
      <c r="C14" s="1" t="s">
        <v>34</v>
      </c>
      <c r="D14" s="2">
        <v>40000</v>
      </c>
      <c r="E14" s="2">
        <v>0</v>
      </c>
      <c r="F14" s="2">
        <f t="shared" si="0"/>
        <v>107.52688172043011</v>
      </c>
      <c r="G14" s="3">
        <v>31</v>
      </c>
      <c r="H14" s="3">
        <v>16</v>
      </c>
      <c r="I14" s="11"/>
      <c r="J14" s="3"/>
      <c r="K14" s="3"/>
      <c r="L14" s="3"/>
      <c r="M14" s="3"/>
      <c r="N14" s="3"/>
      <c r="O14" s="2">
        <f t="shared" si="1"/>
        <v>3333.3333333333335</v>
      </c>
      <c r="P14" s="3">
        <f t="shared" si="2"/>
        <v>15</v>
      </c>
      <c r="Q14" s="3"/>
      <c r="R14" s="3"/>
      <c r="S14" s="3"/>
      <c r="T14" s="3"/>
      <c r="U14" s="3"/>
      <c r="V14" s="3"/>
      <c r="W14" s="3"/>
      <c r="X14" s="3"/>
      <c r="Y14" s="4" t="s">
        <v>26</v>
      </c>
    </row>
    <row r="15" spans="1:25" ht="28.8" x14ac:dyDescent="0.3">
      <c r="A15" s="1">
        <v>14</v>
      </c>
      <c r="B15" s="4" t="s">
        <v>27</v>
      </c>
      <c r="C15" s="1" t="s">
        <v>34</v>
      </c>
      <c r="D15" s="2">
        <v>40000</v>
      </c>
      <c r="E15" s="2">
        <v>200</v>
      </c>
      <c r="F15" s="2">
        <f t="shared" si="0"/>
        <v>107.52688172043011</v>
      </c>
      <c r="G15" s="3">
        <v>31</v>
      </c>
      <c r="H15" s="3">
        <v>15</v>
      </c>
      <c r="I15" s="11"/>
      <c r="J15" s="3"/>
      <c r="K15" s="3"/>
      <c r="L15" s="3"/>
      <c r="M15" s="3"/>
      <c r="N15" s="3"/>
      <c r="O15" s="2">
        <f t="shared" si="1"/>
        <v>3333.3333333333335</v>
      </c>
      <c r="P15" s="3">
        <f t="shared" si="2"/>
        <v>16</v>
      </c>
      <c r="Q15" s="3"/>
      <c r="R15" s="3"/>
      <c r="S15" s="3"/>
      <c r="T15" s="3"/>
      <c r="U15" s="3"/>
      <c r="V15" s="3"/>
      <c r="W15" s="3"/>
      <c r="X15" s="3"/>
      <c r="Y15" s="4" t="s">
        <v>28</v>
      </c>
    </row>
    <row r="16" spans="1:25" ht="28.8" x14ac:dyDescent="0.3">
      <c r="A16" s="1">
        <v>15</v>
      </c>
      <c r="B16" s="4" t="s">
        <v>29</v>
      </c>
      <c r="C16" s="1" t="s">
        <v>34</v>
      </c>
      <c r="D16" s="2">
        <v>40000</v>
      </c>
      <c r="E16" s="2">
        <v>201</v>
      </c>
      <c r="F16" s="2">
        <f t="shared" si="0"/>
        <v>107.52688172043011</v>
      </c>
      <c r="G16" s="3">
        <v>31</v>
      </c>
      <c r="H16" s="3">
        <v>15</v>
      </c>
      <c r="I16" s="11"/>
      <c r="J16" s="3"/>
      <c r="K16" s="3"/>
      <c r="L16" s="3"/>
      <c r="M16" s="3"/>
      <c r="N16" s="3"/>
      <c r="O16" s="2">
        <f t="shared" si="1"/>
        <v>3333.3333333333335</v>
      </c>
      <c r="P16" s="3">
        <f t="shared" si="2"/>
        <v>16</v>
      </c>
      <c r="Q16" s="3"/>
      <c r="R16" s="3"/>
      <c r="S16" s="3"/>
      <c r="T16" s="3"/>
      <c r="U16" s="3"/>
      <c r="V16" s="3"/>
      <c r="W16" s="3"/>
      <c r="X16" s="3"/>
      <c r="Y16" s="4" t="s">
        <v>28</v>
      </c>
    </row>
    <row r="17" spans="1:25" ht="28.8" x14ac:dyDescent="0.3">
      <c r="A17" s="1">
        <v>16</v>
      </c>
      <c r="B17" s="4" t="s">
        <v>30</v>
      </c>
      <c r="C17" s="1" t="s">
        <v>34</v>
      </c>
      <c r="D17" s="2">
        <v>40000</v>
      </c>
      <c r="E17" s="2">
        <v>202</v>
      </c>
      <c r="F17" s="2">
        <f t="shared" si="0"/>
        <v>107.52688172043011</v>
      </c>
      <c r="G17" s="3">
        <v>31</v>
      </c>
      <c r="H17" s="3">
        <v>15</v>
      </c>
      <c r="I17" s="11"/>
      <c r="J17" s="3"/>
      <c r="K17" s="3"/>
      <c r="L17" s="3"/>
      <c r="M17" s="3"/>
      <c r="N17" s="3"/>
      <c r="O17" s="2">
        <f t="shared" si="1"/>
        <v>3333.3333333333335</v>
      </c>
      <c r="P17" s="3">
        <f t="shared" si="2"/>
        <v>16</v>
      </c>
      <c r="Q17" s="3"/>
      <c r="R17" s="3"/>
      <c r="S17" s="3"/>
      <c r="T17" s="3"/>
      <c r="U17" s="3"/>
      <c r="V17" s="3"/>
      <c r="W17" s="3"/>
      <c r="X17" s="3"/>
      <c r="Y17" s="4" t="s">
        <v>28</v>
      </c>
    </row>
    <row r="18" spans="1:25" ht="28.8" x14ac:dyDescent="0.3">
      <c r="A18" s="1">
        <v>17</v>
      </c>
      <c r="B18" s="4" t="s">
        <v>31</v>
      </c>
      <c r="C18" s="1" t="s">
        <v>38</v>
      </c>
      <c r="D18" s="2">
        <v>40000</v>
      </c>
      <c r="E18" s="2">
        <v>202</v>
      </c>
      <c r="F18" s="2">
        <f t="shared" si="0"/>
        <v>107.52688172043011</v>
      </c>
      <c r="G18" s="3">
        <v>31</v>
      </c>
      <c r="H18" s="3">
        <v>10</v>
      </c>
      <c r="I18" s="11"/>
      <c r="J18" s="3"/>
      <c r="K18" s="3"/>
      <c r="L18" s="3"/>
      <c r="M18" s="3"/>
      <c r="N18" s="3"/>
      <c r="O18" s="2">
        <f t="shared" si="1"/>
        <v>3333.3333333333335</v>
      </c>
      <c r="P18" s="3">
        <f t="shared" si="2"/>
        <v>21</v>
      </c>
      <c r="Q18" s="3">
        <v>500</v>
      </c>
      <c r="R18" s="3"/>
      <c r="S18" s="3"/>
      <c r="T18" s="3"/>
      <c r="U18" s="3"/>
      <c r="V18" s="3"/>
      <c r="W18" s="3"/>
      <c r="X18" s="3"/>
      <c r="Y18" s="4" t="s">
        <v>32</v>
      </c>
    </row>
    <row r="19" spans="1:25" x14ac:dyDescent="0.3">
      <c r="A19" s="1"/>
      <c r="B19" s="5" t="s">
        <v>5</v>
      </c>
      <c r="C19" s="5"/>
      <c r="D19" s="6">
        <f>SUM(D2:D18)</f>
        <v>3300000</v>
      </c>
      <c r="E19" s="6">
        <f>SUM(E2:E18)</f>
        <v>3205</v>
      </c>
      <c r="F19" s="6">
        <f>SUM(F2:F14)</f>
        <v>8440.8602150537645</v>
      </c>
      <c r="G19" s="6"/>
      <c r="H19" s="6"/>
      <c r="I19" s="13"/>
      <c r="J19" s="6"/>
      <c r="K19" s="6"/>
      <c r="L19" s="6"/>
      <c r="M19" s="6"/>
      <c r="N19" s="6"/>
      <c r="O19" s="6">
        <f>SUM(O2:O17)</f>
        <v>271666.66666666674</v>
      </c>
      <c r="P19" s="7">
        <f>SUM(P2:P18)</f>
        <v>186</v>
      </c>
      <c r="Q19" s="7"/>
      <c r="R19" s="7"/>
      <c r="S19" s="7"/>
      <c r="T19" s="7"/>
      <c r="U19" s="7"/>
      <c r="V19" s="7"/>
      <c r="W19" s="7"/>
      <c r="X19" s="7"/>
      <c r="Y1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Sankeerth M D</cp:lastModifiedBy>
  <dcterms:created xsi:type="dcterms:W3CDTF">2026-03-13T07:03:12Z</dcterms:created>
  <dcterms:modified xsi:type="dcterms:W3CDTF">2026-03-16T08:21:56Z</dcterms:modified>
</cp:coreProperties>
</file>